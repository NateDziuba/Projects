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fujifilm0-my.sharepoint.com/personal/ndziuba_035_fujifilm_com/Documents/VAD/VAD/Innovation/Projects/DLS_Files/Dye Spectrum/"/>
    </mc:Choice>
  </mc:AlternateContent>
  <xr:revisionPtr revIDLastSave="1" documentId="13_ncr:40009_{F9F22709-165A-4337-9634-329CB34D59A5}" xr6:coauthVersionLast="47" xr6:coauthVersionMax="47" xr10:uidLastSave="{238F61EB-6196-4DFA-803C-34739F53AC6E}"/>
  <bookViews>
    <workbookView minimized="1" xWindow="615" yWindow="1500" windowWidth="16095" windowHeight="10200" xr2:uid="{00000000-000D-0000-FFFF-FFFF00000000}"/>
  </bookViews>
  <sheets>
    <sheet name="Experiment 10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0" i="1" l="1"/>
  <c r="T20" i="1" l="1"/>
  <c r="U20" i="1"/>
  <c r="V20" i="1"/>
  <c r="W20" i="1"/>
  <c r="X20" i="1"/>
  <c r="Y20" i="1"/>
  <c r="Z20" i="1"/>
  <c r="S25" i="1"/>
  <c r="AC22" i="1"/>
  <c r="T22" i="1"/>
  <c r="U22" i="1" s="1"/>
  <c r="V22" i="1" s="1"/>
  <c r="W22" i="1" s="1"/>
  <c r="X22" i="1" s="1"/>
  <c r="Y22" i="1" s="1"/>
  <c r="Z22" i="1" s="1"/>
  <c r="Z21" i="1"/>
  <c r="Y21" i="1"/>
  <c r="X21" i="1"/>
  <c r="X25" i="1" s="1"/>
  <c r="W21" i="1"/>
  <c r="V21" i="1"/>
  <c r="V25" i="1" s="1"/>
  <c r="U21" i="1"/>
  <c r="U25" i="1" s="1"/>
  <c r="T21" i="1"/>
  <c r="T25" i="1" s="1"/>
  <c r="S21" i="1"/>
  <c r="V24" i="1"/>
  <c r="U24" i="1"/>
  <c r="Y24" i="1" l="1"/>
  <c r="X24" i="1"/>
  <c r="W25" i="1"/>
  <c r="W24" i="1"/>
  <c r="Y25" i="1"/>
  <c r="X23" i="1"/>
  <c r="S23" i="1"/>
  <c r="Y23" i="1"/>
  <c r="W23" i="1"/>
  <c r="V23" i="1"/>
  <c r="U23" i="1"/>
  <c r="T23" i="1"/>
  <c r="T24" i="1"/>
  <c r="Z23" i="1"/>
  <c r="Z24" i="1"/>
  <c r="Z25" i="1"/>
</calcChain>
</file>

<file path=xl/sharedStrings.xml><?xml version="1.0" encoding="utf-8"?>
<sst xmlns="http://schemas.openxmlformats.org/spreadsheetml/2006/main" count="16" uniqueCount="16">
  <si>
    <t>##BLOCKS= 1</t>
  </si>
  <si>
    <t>Plate:</t>
  </si>
  <si>
    <t>Plate1</t>
  </si>
  <si>
    <t>PlateFormat</t>
  </si>
  <si>
    <t>Endpoint</t>
  </si>
  <si>
    <t>Absorbance</t>
  </si>
  <si>
    <t>Raw</t>
  </si>
  <si>
    <t>Temperature(¡C)</t>
  </si>
  <si>
    <t>~End</t>
  </si>
  <si>
    <t>Original Filename: Experiment 10; Date Last Saved: 2/16/2024 2:15:37 PM</t>
  </si>
  <si>
    <t>Average</t>
  </si>
  <si>
    <t>SD</t>
  </si>
  <si>
    <t>df</t>
  </si>
  <si>
    <t>df from neat</t>
  </si>
  <si>
    <t>DF from prev.</t>
  </si>
  <si>
    <t>%RSD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</si>
</sst>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9" fontId="0" fillId="0" borderId="0" xfId="1" applyFont="1"/>
    <xf numFmtId="2" fontId="0" fillId="0" borderId="0" xfId="0" applyNumberForma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'Experiment 10'!$S$22:$Y$22</c:f>
              <c:numCache>
                <c:formatCode>General</c:formatCode>
                <c:ptCount val="7"/>
                <c:pt idx="0">
                  <c:v>1</c:v>
                </c:pt>
                <c:pt idx="1">
                  <c:v>0.5</c:v>
                </c:pt>
                <c:pt idx="2">
                  <c:v>0.25</c:v>
                </c:pt>
                <c:pt idx="3">
                  <c:v>0.125</c:v>
                </c:pt>
                <c:pt idx="4">
                  <c:v>6.25E-2</c:v>
                </c:pt>
                <c:pt idx="5">
                  <c:v>3.125E-2</c:v>
                </c:pt>
                <c:pt idx="6">
                  <c:v>1.5625E-2</c:v>
                </c:pt>
              </c:numCache>
            </c:numRef>
          </c:xVal>
          <c:yVal>
            <c:numRef>
              <c:f>'Experiment 10'!$S$20:$Y$20</c:f>
              <c:numCache>
                <c:formatCode>General</c:formatCode>
                <c:ptCount val="7"/>
                <c:pt idx="0">
                  <c:v>3.3575500000000003</c:v>
                </c:pt>
                <c:pt idx="1">
                  <c:v>1.8101375</c:v>
                </c:pt>
                <c:pt idx="2">
                  <c:v>0.73539999999999994</c:v>
                </c:pt>
                <c:pt idx="3">
                  <c:v>0.29260000000000003</c:v>
                </c:pt>
                <c:pt idx="4">
                  <c:v>0.123825</c:v>
                </c:pt>
                <c:pt idx="5">
                  <c:v>4.8437499999999994E-2</c:v>
                </c:pt>
                <c:pt idx="6">
                  <c:v>2.00375E-2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FE-4C22-820D-407F072F07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3797408"/>
        <c:axId val="654541792"/>
      </c:scatterChart>
      <c:valAx>
        <c:axId val="653797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541792"/>
        <c:crosses val="autoZero"/>
        <c:crossBetween val="midCat"/>
      </c:valAx>
      <c:valAx>
        <c:axId val="654541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797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327025</xdr:colOff>
      <xdr:row>8</xdr:row>
      <xdr:rowOff>174625</xdr:rowOff>
    </xdr:from>
    <xdr:to>
      <xdr:col>35</xdr:col>
      <xdr:colOff>22225</xdr:colOff>
      <xdr:row>23</xdr:row>
      <xdr:rowOff>60325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3E4A498-AC0B-2920-5070-0364372815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C25"/>
  <sheetViews>
    <sheetView tabSelected="1" workbookViewId="0">
      <selection activeCell="S12" sqref="S12:Z19"/>
    </sheetView>
  </sheetViews>
  <sheetFormatPr defaultRowHeight="15" x14ac:dyDescent="0.25"/>
  <sheetData>
    <row r="1" spans="1:26" x14ac:dyDescent="0.25">
      <c r="A1" t="s">
        <v>0</v>
      </c>
    </row>
    <row r="2" spans="1:26" x14ac:dyDescent="0.25">
      <c r="A2" t="s">
        <v>1</v>
      </c>
      <c r="B2" t="s">
        <v>2</v>
      </c>
      <c r="C2">
        <v>1.3</v>
      </c>
      <c r="D2" t="s">
        <v>3</v>
      </c>
      <c r="E2" t="s">
        <v>4</v>
      </c>
      <c r="F2" t="s">
        <v>5</v>
      </c>
      <c r="G2" t="s">
        <v>6</v>
      </c>
      <c r="H2" t="b">
        <v>0</v>
      </c>
      <c r="I2">
        <v>1</v>
      </c>
      <c r="O2">
        <v>1</v>
      </c>
      <c r="P2">
        <v>600</v>
      </c>
      <c r="Q2">
        <v>17</v>
      </c>
      <c r="R2">
        <v>8</v>
      </c>
      <c r="S2">
        <v>384</v>
      </c>
      <c r="T2">
        <v>8</v>
      </c>
      <c r="U2">
        <v>9</v>
      </c>
    </row>
    <row r="3" spans="1:26" x14ac:dyDescent="0.25">
      <c r="B3" t="s">
        <v>7</v>
      </c>
      <c r="C3">
        <v>1</v>
      </c>
      <c r="D3">
        <v>2</v>
      </c>
      <c r="E3">
        <v>3</v>
      </c>
      <c r="F3">
        <v>4</v>
      </c>
      <c r="G3">
        <v>5</v>
      </c>
      <c r="H3">
        <v>6</v>
      </c>
      <c r="I3">
        <v>7</v>
      </c>
      <c r="J3">
        <v>8</v>
      </c>
      <c r="K3">
        <v>9</v>
      </c>
      <c r="L3">
        <v>10</v>
      </c>
      <c r="M3">
        <v>11</v>
      </c>
      <c r="N3">
        <v>12</v>
      </c>
      <c r="O3">
        <v>13</v>
      </c>
      <c r="P3">
        <v>14</v>
      </c>
      <c r="Q3">
        <v>15</v>
      </c>
      <c r="R3">
        <v>16</v>
      </c>
      <c r="S3">
        <v>17</v>
      </c>
      <c r="T3">
        <v>18</v>
      </c>
      <c r="U3">
        <v>19</v>
      </c>
      <c r="V3">
        <v>20</v>
      </c>
      <c r="W3">
        <v>21</v>
      </c>
      <c r="X3">
        <v>22</v>
      </c>
      <c r="Y3">
        <v>23</v>
      </c>
      <c r="Z3">
        <v>24</v>
      </c>
    </row>
    <row r="11" spans="1:26" x14ac:dyDescent="0.25">
      <c r="B11">
        <v>24.4</v>
      </c>
      <c r="S11">
        <v>3.3166000000000002</v>
      </c>
      <c r="T11">
        <v>1.7501</v>
      </c>
      <c r="U11">
        <v>0.78869999999999996</v>
      </c>
      <c r="V11">
        <v>0.33829999999999999</v>
      </c>
      <c r="W11">
        <v>0.19719999999999999</v>
      </c>
      <c r="X11">
        <v>0.1018</v>
      </c>
      <c r="Y11">
        <v>5.5800000000000002E-2</v>
      </c>
      <c r="Z11">
        <v>5.0599999999999999E-2</v>
      </c>
    </row>
    <row r="12" spans="1:26" x14ac:dyDescent="0.25">
      <c r="S12">
        <v>3.4175</v>
      </c>
      <c r="T12">
        <v>1.8766</v>
      </c>
      <c r="U12">
        <v>0.75939999999999996</v>
      </c>
      <c r="V12">
        <v>0.3301</v>
      </c>
      <c r="W12">
        <v>0.16869999999999999</v>
      </c>
      <c r="X12">
        <v>9.1600000000000001E-2</v>
      </c>
      <c r="Y12">
        <v>6.2799999999999995E-2</v>
      </c>
      <c r="Z12">
        <v>5.0599999999999999E-2</v>
      </c>
    </row>
    <row r="13" spans="1:26" x14ac:dyDescent="0.25">
      <c r="S13">
        <v>3.4041000000000001</v>
      </c>
      <c r="T13">
        <v>1.8246</v>
      </c>
      <c r="U13">
        <v>0.79179999999999995</v>
      </c>
      <c r="V13">
        <v>0.33600000000000002</v>
      </c>
      <c r="W13">
        <v>0.16869999999999999</v>
      </c>
      <c r="X13">
        <v>9.4500000000000001E-2</v>
      </c>
      <c r="Y13">
        <v>6.3700000000000007E-2</v>
      </c>
      <c r="Z13">
        <v>5.2200000000000003E-2</v>
      </c>
    </row>
    <row r="14" spans="1:26" x14ac:dyDescent="0.25">
      <c r="S14">
        <v>3.3961999999999999</v>
      </c>
      <c r="T14">
        <v>1.8939999999999999</v>
      </c>
      <c r="U14">
        <v>0.77010000000000001</v>
      </c>
      <c r="V14">
        <v>0.33829999999999999</v>
      </c>
      <c r="W14">
        <v>0.16830000000000001</v>
      </c>
      <c r="X14">
        <v>9.0499999999999997E-2</v>
      </c>
      <c r="Y14">
        <v>6.0900000000000003E-2</v>
      </c>
      <c r="Z14">
        <v>4.9000000000000002E-2</v>
      </c>
    </row>
    <row r="15" spans="1:26" x14ac:dyDescent="0.25">
      <c r="S15">
        <v>3.3879999999999999</v>
      </c>
      <c r="T15">
        <v>1.9216</v>
      </c>
      <c r="U15">
        <v>0.76719999999999999</v>
      </c>
      <c r="V15">
        <v>0.31590000000000001</v>
      </c>
      <c r="W15">
        <v>0.16320000000000001</v>
      </c>
      <c r="X15">
        <v>8.2400000000000001E-2</v>
      </c>
      <c r="Y15">
        <v>7.17E-2</v>
      </c>
      <c r="Z15">
        <v>4.7199999999999999E-2</v>
      </c>
    </row>
    <row r="16" spans="1:26" x14ac:dyDescent="0.25">
      <c r="S16">
        <v>3.4397000000000002</v>
      </c>
      <c r="T16">
        <v>1.8184</v>
      </c>
      <c r="U16">
        <v>0.80689999999999995</v>
      </c>
      <c r="V16">
        <v>0.36209999999999998</v>
      </c>
      <c r="W16">
        <v>0.1694</v>
      </c>
      <c r="X16">
        <v>9.3600000000000003E-2</v>
      </c>
      <c r="Y16">
        <v>6.4100000000000004E-2</v>
      </c>
      <c r="Z16">
        <v>5.16E-2</v>
      </c>
    </row>
    <row r="17" spans="1:29" x14ac:dyDescent="0.25">
      <c r="S17">
        <v>3.4062000000000001</v>
      </c>
      <c r="T17">
        <v>1.7903</v>
      </c>
      <c r="U17">
        <v>0.80110000000000003</v>
      </c>
      <c r="V17">
        <v>0.37540000000000001</v>
      </c>
      <c r="W17">
        <v>0.17849999999999999</v>
      </c>
      <c r="X17">
        <v>9.7000000000000003E-2</v>
      </c>
      <c r="Y17">
        <v>6.5000000000000002E-2</v>
      </c>
      <c r="Z17">
        <v>5.1400000000000001E-2</v>
      </c>
    </row>
    <row r="18" spans="1:29" x14ac:dyDescent="0.25">
      <c r="S18">
        <v>3.4005999999999998</v>
      </c>
      <c r="T18">
        <v>1.8573</v>
      </c>
      <c r="U18">
        <v>0.78100000000000003</v>
      </c>
      <c r="V18">
        <v>0.31319999999999998</v>
      </c>
      <c r="W18">
        <v>0.1726</v>
      </c>
      <c r="X18">
        <v>0.10829999999999999</v>
      </c>
      <c r="Y18">
        <v>7.0599999999999996E-2</v>
      </c>
      <c r="Z18">
        <v>5.4300000000000001E-2</v>
      </c>
    </row>
    <row r="19" spans="1:29" x14ac:dyDescent="0.25">
      <c r="S19">
        <v>3.3721000000000001</v>
      </c>
      <c r="T19">
        <v>1.8623000000000001</v>
      </c>
      <c r="U19">
        <v>0.76970000000000005</v>
      </c>
      <c r="V19">
        <v>0.33379999999999999</v>
      </c>
      <c r="W19">
        <v>0.16520000000000001</v>
      </c>
      <c r="X19">
        <v>9.3600000000000003E-2</v>
      </c>
      <c r="Y19">
        <v>6.5500000000000003E-2</v>
      </c>
      <c r="Z19">
        <v>5.7000000000000002E-2</v>
      </c>
    </row>
    <row r="20" spans="1:29" x14ac:dyDescent="0.25">
      <c r="R20" t="s">
        <v>10</v>
      </c>
      <c r="S20">
        <f>AVERAGE(S12:S19)-0.0455</f>
        <v>3.3575500000000003</v>
      </c>
      <c r="T20">
        <f t="shared" ref="T20:Z20" si="0">AVERAGE(T12:T19)-0.0455</f>
        <v>1.8101375</v>
      </c>
      <c r="U20">
        <f t="shared" si="0"/>
        <v>0.73539999999999994</v>
      </c>
      <c r="V20">
        <f t="shared" si="0"/>
        <v>0.29260000000000003</v>
      </c>
      <c r="W20">
        <f t="shared" si="0"/>
        <v>0.123825</v>
      </c>
      <c r="X20">
        <f t="shared" si="0"/>
        <v>4.8437499999999994E-2</v>
      </c>
      <c r="Y20">
        <f t="shared" si="0"/>
        <v>2.00375E-2</v>
      </c>
      <c r="Z20">
        <f t="shared" si="0"/>
        <v>6.1625000000000013E-3</v>
      </c>
    </row>
    <row r="21" spans="1:29" x14ac:dyDescent="0.25">
      <c r="A21" t="s">
        <v>8</v>
      </c>
      <c r="R21" t="s">
        <v>11</v>
      </c>
      <c r="S21">
        <f>_xlfn.STDEV.S(S12:S19)</f>
        <v>2.0001357096814401E-2</v>
      </c>
      <c r="T21">
        <f t="shared" ref="T21:Z21" si="1">_xlfn.STDEV.S(T12:T19)</f>
        <v>4.2975505897462754E-2</v>
      </c>
      <c r="U21">
        <f t="shared" si="1"/>
        <v>1.7299380666040365E-2</v>
      </c>
      <c r="V21">
        <f t="shared" si="1"/>
        <v>2.1270637037945055E-2</v>
      </c>
      <c r="W21">
        <f t="shared" si="1"/>
        <v>4.648732546158601E-3</v>
      </c>
      <c r="X21">
        <f t="shared" si="1"/>
        <v>7.2367983252264239E-3</v>
      </c>
      <c r="Y21">
        <f t="shared" si="1"/>
        <v>3.7481185756513685E-3</v>
      </c>
      <c r="Z21">
        <f t="shared" si="1"/>
        <v>3.022268542478836E-3</v>
      </c>
    </row>
    <row r="22" spans="1:29" x14ac:dyDescent="0.25">
      <c r="A22" t="s">
        <v>9</v>
      </c>
      <c r="R22" t="s">
        <v>12</v>
      </c>
      <c r="S22">
        <v>1</v>
      </c>
      <c r="T22">
        <f>1/2</f>
        <v>0.5</v>
      </c>
      <c r="U22">
        <f>(T22/2)</f>
        <v>0.25</v>
      </c>
      <c r="V22">
        <f t="shared" ref="V22:Z22" si="2">(U22/2)</f>
        <v>0.125</v>
      </c>
      <c r="W22">
        <f t="shared" si="2"/>
        <v>6.25E-2</v>
      </c>
      <c r="X22">
        <f t="shared" si="2"/>
        <v>3.125E-2</v>
      </c>
      <c r="Y22">
        <f t="shared" si="2"/>
        <v>1.5625E-2</v>
      </c>
      <c r="Z22">
        <f t="shared" si="2"/>
        <v>7.8125E-3</v>
      </c>
      <c r="AC22" s="2">
        <f>2*0.3</f>
        <v>0.6</v>
      </c>
    </row>
    <row r="23" spans="1:29" x14ac:dyDescent="0.25">
      <c r="R23" t="s">
        <v>13</v>
      </c>
      <c r="S23">
        <f>($S$20/S20)</f>
        <v>1</v>
      </c>
      <c r="T23">
        <f t="shared" ref="T23:Z23" si="3">($S$20/T20)</f>
        <v>1.8548590921960351</v>
      </c>
      <c r="U23">
        <f t="shared" si="3"/>
        <v>4.5656105520805008</v>
      </c>
      <c r="V23">
        <f t="shared" si="3"/>
        <v>11.474880382775119</v>
      </c>
      <c r="W23">
        <f t="shared" si="3"/>
        <v>27.115283666464769</v>
      </c>
      <c r="X23">
        <f t="shared" si="3"/>
        <v>69.317161290322588</v>
      </c>
      <c r="Y23">
        <f t="shared" si="3"/>
        <v>167.56331877729258</v>
      </c>
      <c r="Z23">
        <f t="shared" si="3"/>
        <v>544.83569979716015</v>
      </c>
    </row>
    <row r="24" spans="1:29" x14ac:dyDescent="0.25">
      <c r="R24" t="s">
        <v>14</v>
      </c>
      <c r="T24">
        <f>(S20/T20)</f>
        <v>1.8548590921960351</v>
      </c>
      <c r="U24">
        <f t="shared" ref="U24:Z24" si="4">(T20/U20)</f>
        <v>2.4614325537122657</v>
      </c>
      <c r="V24">
        <f t="shared" si="4"/>
        <v>2.513328776486671</v>
      </c>
      <c r="W24">
        <f t="shared" si="4"/>
        <v>2.3630123157682212</v>
      </c>
      <c r="X24">
        <f t="shared" si="4"/>
        <v>2.556387096774194</v>
      </c>
      <c r="Y24">
        <f t="shared" si="4"/>
        <v>2.4173424828446661</v>
      </c>
      <c r="Z24">
        <f t="shared" si="4"/>
        <v>3.2515212981744415</v>
      </c>
    </row>
    <row r="25" spans="1:29" x14ac:dyDescent="0.25">
      <c r="R25" t="s">
        <v>15</v>
      </c>
      <c r="S25" s="1">
        <f>(S21/S20)</f>
        <v>5.9571285898391384E-3</v>
      </c>
      <c r="T25" s="1">
        <f t="shared" ref="T25:Z25" si="5">(T21/T20)</f>
        <v>2.3741569851717208E-2</v>
      </c>
      <c r="U25" s="1">
        <f t="shared" si="5"/>
        <v>2.3523770282894162E-2</v>
      </c>
      <c r="V25" s="1">
        <f t="shared" si="5"/>
        <v>7.2695273540482067E-2</v>
      </c>
      <c r="W25" s="1">
        <f t="shared" si="5"/>
        <v>3.7542762335219873E-2</v>
      </c>
      <c r="X25" s="1">
        <f t="shared" si="5"/>
        <v>0.14940486864983588</v>
      </c>
      <c r="Y25" s="1">
        <f t="shared" si="5"/>
        <v>0.18705520028203959</v>
      </c>
      <c r="Z25" s="1">
        <f t="shared" si="5"/>
        <v>0.49042897241035865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Experiment 10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Nate Dziuba</cp:lastModifiedBy>
  <dcterms:created xsi:type="dcterms:W3CDTF">2024-02-16T20:18:27Z</dcterms:created>
  <dcterms:modified xsi:type="dcterms:W3CDTF">2024-02-23T18:37:06Z</dcterms:modified>
</cp:coreProperties>
</file>